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tendance Tracker" sheetId="1" r:id="rId4"/>
  </sheets>
  <definedNames/>
  <calcPr/>
</workbook>
</file>

<file path=xl/sharedStrings.xml><?xml version="1.0" encoding="utf-8"?>
<sst xmlns="http://schemas.openxmlformats.org/spreadsheetml/2006/main" count="134" uniqueCount="76">
  <si>
    <t>Student Attendance &amp; Submissions Tracker</t>
  </si>
  <si>
    <t>Total Students</t>
  </si>
  <si>
    <t>Avg Attendance</t>
  </si>
  <si>
    <t>Present</t>
  </si>
  <si>
    <t>Short Attendance</t>
  </si>
  <si>
    <t>Enrollment No</t>
  </si>
  <si>
    <t>Student Name</t>
  </si>
  <si>
    <t>Total Classes</t>
  </si>
  <si>
    <t>Classes Attended</t>
  </si>
  <si>
    <t>Classes Missed</t>
  </si>
  <si>
    <t>Attendance %</t>
  </si>
  <si>
    <t>Status</t>
  </si>
  <si>
    <t>Assignment</t>
  </si>
  <si>
    <t>Project</t>
  </si>
  <si>
    <t>ENR2023001</t>
  </si>
  <si>
    <t>Aarav Sharma</t>
  </si>
  <si>
    <t>Submitted</t>
  </si>
  <si>
    <t>ENR2023002</t>
  </si>
  <si>
    <t>Vivaan Singh</t>
  </si>
  <si>
    <t>Pending</t>
  </si>
  <si>
    <t>ENR2023003</t>
  </si>
  <si>
    <t>Aditya Patel</t>
  </si>
  <si>
    <t>ENR2023004</t>
  </si>
  <si>
    <t>Vihaan Kumar</t>
  </si>
  <si>
    <t>ENR2023005</t>
  </si>
  <si>
    <t>Arjun Gupta</t>
  </si>
  <si>
    <t>ENR2023006</t>
  </si>
  <si>
    <t>Sai Reddy</t>
  </si>
  <si>
    <t>ENR2023007</t>
  </si>
  <si>
    <t>Reyansh Joshi</t>
  </si>
  <si>
    <t>ENR2023008</t>
  </si>
  <si>
    <t>Ayaan Desai</t>
  </si>
  <si>
    <t>ENR2023009</t>
  </si>
  <si>
    <t>Krishna Rao</t>
  </si>
  <si>
    <t>ENR2023010</t>
  </si>
  <si>
    <t>Ishaan Mehta</t>
  </si>
  <si>
    <t>ENR2023011</t>
  </si>
  <si>
    <t>Shaurya Bhatia</t>
  </si>
  <si>
    <t>ENR2023012</t>
  </si>
  <si>
    <t>Atharva Nair</t>
  </si>
  <si>
    <t>ENR2023013</t>
  </si>
  <si>
    <t>Dhruv Iyer</t>
  </si>
  <si>
    <t>ENR2023014</t>
  </si>
  <si>
    <t>Kabir Menon</t>
  </si>
  <si>
    <t>ENR2023015</t>
  </si>
  <si>
    <t>Ritik Pillai</t>
  </si>
  <si>
    <t>ENR2023016</t>
  </si>
  <si>
    <t>Zara Khan</t>
  </si>
  <si>
    <t>ENR2023017</t>
  </si>
  <si>
    <t>Inaya Ali</t>
  </si>
  <si>
    <t>ENR2023018</t>
  </si>
  <si>
    <t>Aanya Das</t>
  </si>
  <si>
    <t>ENR2023019</t>
  </si>
  <si>
    <t>Diya Mukherjee</t>
  </si>
  <si>
    <t>ENR2023020</t>
  </si>
  <si>
    <t>Pihu Banerjee</t>
  </si>
  <si>
    <t>ENR2023021</t>
  </si>
  <si>
    <t>Ananya Chatterjee</t>
  </si>
  <si>
    <t>ENR2023022</t>
  </si>
  <si>
    <t>Myra Sengupta</t>
  </si>
  <si>
    <t>ENR2023023</t>
  </si>
  <si>
    <t>Kavya Bose</t>
  </si>
  <si>
    <t>ENR2023024</t>
  </si>
  <si>
    <t>Riya Dutta</t>
  </si>
  <si>
    <t>ENR2023025</t>
  </si>
  <si>
    <t>Sanya Ghosh</t>
  </si>
  <si>
    <t>ENR2023026</t>
  </si>
  <si>
    <t>Kiara Roy</t>
  </si>
  <si>
    <t>ENR2023027</t>
  </si>
  <si>
    <t>Prisha Sen</t>
  </si>
  <si>
    <t>ENR2023028</t>
  </si>
  <si>
    <t>Navya Dasgupta</t>
  </si>
  <si>
    <t>ENR2023029</t>
  </si>
  <si>
    <t>Avni Ganguly</t>
  </si>
  <si>
    <t>ENR2023030</t>
  </si>
  <si>
    <t>Meera Chakraborty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</si>
</sst>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>
      <b/>
      <sz val="24.0"/>
      <color rgb="FF435E91"/>
      <name val="Montserrat"/>
    </font>
    <font>
      <b/>
      <sz val="11.0"/>
      <color rgb="FFFFFFFF"/>
      <name val="Montserrat"/>
    </font>
    <font>
      <b/>
      <sz val="14.0"/>
      <color rgb="FF3E4658"/>
      <name val="Roboto"/>
    </font>
    <font>
      <sz val="10.0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435E91"/>
        <bgColor rgb="FF435E91"/>
      </patternFill>
    </fill>
    <fill>
      <patternFill patternType="solid">
        <fgColor rgb="FFDBE1F8"/>
        <bgColor rgb="FFDBE1F8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center" readingOrder="0" vertical="center"/>
    </xf>
    <xf borderId="0" fillId="3" fontId="3" numFmtId="0" xfId="0" applyAlignment="1" applyFill="1" applyFont="1">
      <alignment horizontal="center" vertical="center"/>
    </xf>
    <xf borderId="0" fillId="3" fontId="3" numFmtId="10" xfId="0" applyAlignment="1" applyFont="1" applyNumberFormat="1">
      <alignment horizontal="center" vertical="center"/>
    </xf>
    <xf borderId="0" fillId="2" fontId="2" numFmtId="0" xfId="0" applyAlignment="1" applyFon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0" fillId="0" fontId="4" numFmtId="10" xfId="0" applyAlignment="1" applyFont="1" applyNumberFormat="1">
      <alignment horizontal="center" vertical="center"/>
    </xf>
    <xf borderId="0" fillId="0" fontId="4" numFmtId="0" xfId="0" applyAlignment="1" applyFont="1">
      <alignment vertical="center"/>
    </xf>
    <xf borderId="0" fillId="0" fontId="4" numFmtId="0" xfId="0" applyAlignment="1" applyFont="1">
      <alignment readingOrder="0" vertical="center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435E91"/>
          <bgColor rgb="FF435E91"/>
        </patternFill>
      </fill>
      <border/>
    </dxf>
    <dxf>
      <font/>
      <fill>
        <patternFill patternType="solid">
          <fgColor rgb="FFF8F8FF"/>
          <bgColor rgb="FFF8F8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3EC08A"/>
          <bgColor rgb="FF3EC08A"/>
        </patternFill>
      </fill>
      <border/>
    </dxf>
    <dxf>
      <font/>
      <fill>
        <patternFill patternType="solid">
          <fgColor rgb="FFFF859A"/>
          <bgColor rgb="FFFF859A"/>
        </patternFill>
      </fill>
      <border/>
    </dxf>
    <dxf>
      <font/>
      <fill>
        <patternFill patternType="solid">
          <fgColor rgb="FFEBD94E"/>
          <bgColor rgb="FFEBD94E"/>
        </patternFill>
      </fill>
      <border/>
    </dxf>
  </dxfs>
  <tableStyles count="1">
    <tableStyle count="3" pivot="0" name="Attendance Tracker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Status Distribution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'Attendance Tracker'!$D$4:$E$4</c:f>
            </c:strRef>
          </c:cat>
          <c:val>
            <c:numRef>
              <c:f>'Attendance Tracker'!$D$5:$E$5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Attendance Percentage per Student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'Attendance Tracker'!$G$7</c:f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'Attendance Tracker'!$C$8:$C$37</c:f>
            </c:strRef>
          </c:cat>
          <c:val>
            <c:numRef>
              <c:f>'Attendance Tracker'!$G$8:$G$37</c:f>
              <c:numCache/>
            </c:numRef>
          </c:val>
        </c:ser>
        <c:axId val="1767975968"/>
        <c:axId val="1542901938"/>
      </c:barChart>
      <c:catAx>
        <c:axId val="17679759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Student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42901938"/>
      </c:catAx>
      <c:valAx>
        <c:axId val="15429019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Attendance 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679759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6</xdr:row>
      <xdr:rowOff>0</xdr:rowOff>
    </xdr:from>
    <xdr:ext cx="3810000" cy="2857500"/>
    <xdr:graphicFrame>
      <xdr:nvGraphicFramePr>
        <xdr:cNvPr id="1" name="Chart 1" title="Status Distributi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0</xdr:colOff>
      <xdr:row>20</xdr:row>
      <xdr:rowOff>0</xdr:rowOff>
    </xdr:from>
    <xdr:ext cx="5715000" cy="3333750"/>
    <xdr:graphicFrame>
      <xdr:nvGraphicFramePr>
        <xdr:cNvPr id="2" name="Chart 2" title="Attendance Percentage per Studen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7:J37" displayName="Table_1" name="Table_1" id="1">
  <tableColumns count="9">
    <tableColumn name="Enrollment No" id="1"/>
    <tableColumn name="Student Name" id="2"/>
    <tableColumn name="Total Classes" id="3"/>
    <tableColumn name="Classes Attended" id="4"/>
    <tableColumn name="Classes Missed" id="5"/>
    <tableColumn name="Attendance %" id="6"/>
    <tableColumn name="Status" id="7"/>
    <tableColumn name="Assignment" id="8"/>
    <tableColumn name="Project" id="9"/>
  </tableColumns>
  <tableStyleInfo name="Attendance Tracker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28.63"/>
    <col customWidth="1" min="3" max="3" width="17.5"/>
    <col customWidth="1" min="4" max="4" width="18.88"/>
    <col customWidth="1" min="5" max="5" width="20.13"/>
    <col customWidth="1" min="6" max="6" width="20.38"/>
    <col customWidth="1" min="7" max="7" width="17.5"/>
    <col customWidth="1" min="8" max="8" width="15.38"/>
    <col customWidth="1" min="9" max="9" width="14.13"/>
    <col customWidth="1" min="10" max="10" width="12.88"/>
  </cols>
  <sheetData>
    <row r="1" ht="6.75" customHeight="1"/>
    <row r="2">
      <c r="B2" s="1" t="s">
        <v>0</v>
      </c>
    </row>
    <row r="4">
      <c r="B4" s="2" t="s">
        <v>1</v>
      </c>
      <c r="C4" s="2" t="s">
        <v>2</v>
      </c>
      <c r="D4" s="2" t="s">
        <v>3</v>
      </c>
      <c r="E4" s="2" t="s">
        <v>4</v>
      </c>
    </row>
    <row r="5">
      <c r="B5" s="3">
        <f>COUNTA(B8:B37)</f>
        <v>30</v>
      </c>
      <c r="C5" s="4">
        <f>AVERAGE(G8:G37)</f>
        <v>0.8241666667</v>
      </c>
      <c r="D5" s="3">
        <f>COUNTIF(H8:H37, "Present")</f>
        <v>21</v>
      </c>
      <c r="E5" s="3">
        <f>COUNTIF(H8:H37, "Short Attendance")</f>
        <v>9</v>
      </c>
    </row>
    <row r="7" ht="26.25" customHeight="1">
      <c r="B7" s="5" t="s">
        <v>5</v>
      </c>
      <c r="C7" s="5" t="s">
        <v>6</v>
      </c>
      <c r="D7" s="6" t="s">
        <v>7</v>
      </c>
      <c r="E7" s="6" t="s">
        <v>8</v>
      </c>
      <c r="F7" s="6" t="s">
        <v>9</v>
      </c>
      <c r="G7" s="6" t="s">
        <v>10</v>
      </c>
      <c r="H7" s="6" t="s">
        <v>11</v>
      </c>
      <c r="I7" s="6" t="s">
        <v>12</v>
      </c>
      <c r="J7" s="6" t="s">
        <v>13</v>
      </c>
    </row>
    <row r="8" ht="26.25" customHeight="1">
      <c r="B8" s="7" t="s">
        <v>14</v>
      </c>
      <c r="C8" s="7" t="s">
        <v>15</v>
      </c>
      <c r="D8" s="7">
        <v>40.0</v>
      </c>
      <c r="E8" s="7">
        <v>38.0</v>
      </c>
      <c r="F8" s="8">
        <f t="shared" ref="F8:F37" si="1">D8-E8</f>
        <v>2</v>
      </c>
      <c r="G8" s="9">
        <f t="shared" ref="G8:G37" si="2">E8/D8</f>
        <v>0.95</v>
      </c>
      <c r="H8" s="10" t="str">
        <f t="shared" ref="H8:H37" si="3">IF(G8&gt;=0.75, "Present", "Short Attendance")</f>
        <v>Present</v>
      </c>
      <c r="I8" s="11" t="s">
        <v>16</v>
      </c>
      <c r="J8" s="11" t="s">
        <v>16</v>
      </c>
    </row>
    <row r="9" ht="26.25" customHeight="1">
      <c r="B9" s="7" t="s">
        <v>17</v>
      </c>
      <c r="C9" s="7" t="s">
        <v>18</v>
      </c>
      <c r="D9" s="7">
        <v>40.0</v>
      </c>
      <c r="E9" s="7">
        <v>32.0</v>
      </c>
      <c r="F9" s="8">
        <f t="shared" si="1"/>
        <v>8</v>
      </c>
      <c r="G9" s="9">
        <f t="shared" si="2"/>
        <v>0.8</v>
      </c>
      <c r="H9" s="10" t="str">
        <f t="shared" si="3"/>
        <v>Present</v>
      </c>
      <c r="I9" s="11" t="s">
        <v>16</v>
      </c>
      <c r="J9" s="11" t="s">
        <v>19</v>
      </c>
    </row>
    <row r="10" ht="26.25" customHeight="1">
      <c r="B10" s="7" t="s">
        <v>20</v>
      </c>
      <c r="C10" s="7" t="s">
        <v>21</v>
      </c>
      <c r="D10" s="7">
        <v>40.0</v>
      </c>
      <c r="E10" s="7">
        <v>28.0</v>
      </c>
      <c r="F10" s="8">
        <f t="shared" si="1"/>
        <v>12</v>
      </c>
      <c r="G10" s="9">
        <f t="shared" si="2"/>
        <v>0.7</v>
      </c>
      <c r="H10" s="10" t="str">
        <f t="shared" si="3"/>
        <v>Short Attendance</v>
      </c>
      <c r="I10" s="11" t="s">
        <v>19</v>
      </c>
      <c r="J10" s="11" t="s">
        <v>16</v>
      </c>
    </row>
    <row r="11" ht="26.25" customHeight="1">
      <c r="B11" s="7" t="s">
        <v>22</v>
      </c>
      <c r="C11" s="7" t="s">
        <v>23</v>
      </c>
      <c r="D11" s="7">
        <v>40.0</v>
      </c>
      <c r="E11" s="7">
        <v>40.0</v>
      </c>
      <c r="F11" s="8">
        <f t="shared" si="1"/>
        <v>0</v>
      </c>
      <c r="G11" s="9">
        <f t="shared" si="2"/>
        <v>1</v>
      </c>
      <c r="H11" s="10" t="str">
        <f t="shared" si="3"/>
        <v>Present</v>
      </c>
      <c r="I11" s="11" t="s">
        <v>16</v>
      </c>
      <c r="J11" s="11" t="s">
        <v>16</v>
      </c>
    </row>
    <row r="12" ht="26.25" customHeight="1">
      <c r="B12" s="7" t="s">
        <v>24</v>
      </c>
      <c r="C12" s="7" t="s">
        <v>25</v>
      </c>
      <c r="D12" s="7">
        <v>40.0</v>
      </c>
      <c r="E12" s="7">
        <v>35.0</v>
      </c>
      <c r="F12" s="8">
        <f t="shared" si="1"/>
        <v>5</v>
      </c>
      <c r="G12" s="9">
        <f t="shared" si="2"/>
        <v>0.875</v>
      </c>
      <c r="H12" s="10" t="str">
        <f t="shared" si="3"/>
        <v>Present</v>
      </c>
      <c r="I12" s="11" t="s">
        <v>16</v>
      </c>
      <c r="J12" s="11" t="s">
        <v>16</v>
      </c>
    </row>
    <row r="13" ht="26.25" customHeight="1">
      <c r="B13" s="7" t="s">
        <v>26</v>
      </c>
      <c r="C13" s="7" t="s">
        <v>27</v>
      </c>
      <c r="D13" s="7">
        <v>40.0</v>
      </c>
      <c r="E13" s="7">
        <v>25.0</v>
      </c>
      <c r="F13" s="8">
        <f t="shared" si="1"/>
        <v>15</v>
      </c>
      <c r="G13" s="9">
        <f t="shared" si="2"/>
        <v>0.625</v>
      </c>
      <c r="H13" s="10" t="str">
        <f t="shared" si="3"/>
        <v>Short Attendance</v>
      </c>
      <c r="I13" s="11" t="s">
        <v>19</v>
      </c>
      <c r="J13" s="11" t="s">
        <v>19</v>
      </c>
    </row>
    <row r="14" ht="26.25" customHeight="1">
      <c r="B14" s="7" t="s">
        <v>28</v>
      </c>
      <c r="C14" s="7" t="s">
        <v>29</v>
      </c>
      <c r="D14" s="7">
        <v>40.0</v>
      </c>
      <c r="E14" s="7">
        <v>39.0</v>
      </c>
      <c r="F14" s="8">
        <f t="shared" si="1"/>
        <v>1</v>
      </c>
      <c r="G14" s="9">
        <f t="shared" si="2"/>
        <v>0.975</v>
      </c>
      <c r="H14" s="10" t="str">
        <f t="shared" si="3"/>
        <v>Present</v>
      </c>
      <c r="I14" s="11" t="s">
        <v>16</v>
      </c>
      <c r="J14" s="11" t="s">
        <v>16</v>
      </c>
    </row>
    <row r="15" ht="26.25" customHeight="1">
      <c r="B15" s="7" t="s">
        <v>30</v>
      </c>
      <c r="C15" s="7" t="s">
        <v>31</v>
      </c>
      <c r="D15" s="7">
        <v>40.0</v>
      </c>
      <c r="E15" s="7">
        <v>30.0</v>
      </c>
      <c r="F15" s="8">
        <f t="shared" si="1"/>
        <v>10</v>
      </c>
      <c r="G15" s="9">
        <f t="shared" si="2"/>
        <v>0.75</v>
      </c>
      <c r="H15" s="10" t="str">
        <f t="shared" si="3"/>
        <v>Present</v>
      </c>
      <c r="I15" s="11" t="s">
        <v>16</v>
      </c>
      <c r="J15" s="11" t="s">
        <v>19</v>
      </c>
    </row>
    <row r="16" ht="26.25" customHeight="1">
      <c r="B16" s="7" t="s">
        <v>32</v>
      </c>
      <c r="C16" s="7" t="s">
        <v>33</v>
      </c>
      <c r="D16" s="7">
        <v>40.0</v>
      </c>
      <c r="E16" s="7">
        <v>29.0</v>
      </c>
      <c r="F16" s="8">
        <f t="shared" si="1"/>
        <v>11</v>
      </c>
      <c r="G16" s="9">
        <f t="shared" si="2"/>
        <v>0.725</v>
      </c>
      <c r="H16" s="10" t="str">
        <f t="shared" si="3"/>
        <v>Short Attendance</v>
      </c>
      <c r="I16" s="11" t="s">
        <v>19</v>
      </c>
      <c r="J16" s="11" t="s">
        <v>16</v>
      </c>
    </row>
    <row r="17" ht="26.25" customHeight="1">
      <c r="B17" s="7" t="s">
        <v>34</v>
      </c>
      <c r="C17" s="7" t="s">
        <v>35</v>
      </c>
      <c r="D17" s="7">
        <v>40.0</v>
      </c>
      <c r="E17" s="7">
        <v>36.0</v>
      </c>
      <c r="F17" s="8">
        <f t="shared" si="1"/>
        <v>4</v>
      </c>
      <c r="G17" s="9">
        <f t="shared" si="2"/>
        <v>0.9</v>
      </c>
      <c r="H17" s="10" t="str">
        <f t="shared" si="3"/>
        <v>Present</v>
      </c>
      <c r="I17" s="11" t="s">
        <v>16</v>
      </c>
      <c r="J17" s="11" t="s">
        <v>16</v>
      </c>
    </row>
    <row r="18" ht="26.25" customHeight="1">
      <c r="B18" s="7" t="s">
        <v>36</v>
      </c>
      <c r="C18" s="7" t="s">
        <v>37</v>
      </c>
      <c r="D18" s="7">
        <v>40.0</v>
      </c>
      <c r="E18" s="7">
        <v>37.0</v>
      </c>
      <c r="F18" s="8">
        <f t="shared" si="1"/>
        <v>3</v>
      </c>
      <c r="G18" s="9">
        <f t="shared" si="2"/>
        <v>0.925</v>
      </c>
      <c r="H18" s="10" t="str">
        <f t="shared" si="3"/>
        <v>Present</v>
      </c>
      <c r="I18" s="11" t="s">
        <v>16</v>
      </c>
      <c r="J18" s="11" t="s">
        <v>16</v>
      </c>
    </row>
    <row r="19" ht="26.25" customHeight="1">
      <c r="B19" s="7" t="s">
        <v>38</v>
      </c>
      <c r="C19" s="7" t="s">
        <v>39</v>
      </c>
      <c r="D19" s="7">
        <v>40.0</v>
      </c>
      <c r="E19" s="7">
        <v>22.0</v>
      </c>
      <c r="F19" s="8">
        <f t="shared" si="1"/>
        <v>18</v>
      </c>
      <c r="G19" s="9">
        <f t="shared" si="2"/>
        <v>0.55</v>
      </c>
      <c r="H19" s="10" t="str">
        <f t="shared" si="3"/>
        <v>Short Attendance</v>
      </c>
      <c r="I19" s="11" t="s">
        <v>19</v>
      </c>
      <c r="J19" s="11" t="s">
        <v>19</v>
      </c>
    </row>
    <row r="20" ht="26.25" customHeight="1">
      <c r="B20" s="7" t="s">
        <v>40</v>
      </c>
      <c r="C20" s="7" t="s">
        <v>41</v>
      </c>
      <c r="D20" s="7">
        <v>40.0</v>
      </c>
      <c r="E20" s="7">
        <v>33.0</v>
      </c>
      <c r="F20" s="8">
        <f t="shared" si="1"/>
        <v>7</v>
      </c>
      <c r="G20" s="9">
        <f t="shared" si="2"/>
        <v>0.825</v>
      </c>
      <c r="H20" s="10" t="str">
        <f t="shared" si="3"/>
        <v>Present</v>
      </c>
      <c r="I20" s="11" t="s">
        <v>16</v>
      </c>
      <c r="J20" s="11" t="s">
        <v>19</v>
      </c>
    </row>
    <row r="21" ht="26.25" customHeight="1">
      <c r="B21" s="7" t="s">
        <v>42</v>
      </c>
      <c r="C21" s="7" t="s">
        <v>43</v>
      </c>
      <c r="D21" s="7">
        <v>40.0</v>
      </c>
      <c r="E21" s="7">
        <v>38.0</v>
      </c>
      <c r="F21" s="8">
        <f t="shared" si="1"/>
        <v>2</v>
      </c>
      <c r="G21" s="9">
        <f t="shared" si="2"/>
        <v>0.95</v>
      </c>
      <c r="H21" s="10" t="str">
        <f t="shared" si="3"/>
        <v>Present</v>
      </c>
      <c r="I21" s="11" t="s">
        <v>16</v>
      </c>
      <c r="J21" s="11" t="s">
        <v>16</v>
      </c>
    </row>
    <row r="22" ht="26.25" customHeight="1">
      <c r="B22" s="7" t="s">
        <v>44</v>
      </c>
      <c r="C22" s="7" t="s">
        <v>45</v>
      </c>
      <c r="D22" s="7">
        <v>40.0</v>
      </c>
      <c r="E22" s="7">
        <v>31.0</v>
      </c>
      <c r="F22" s="8">
        <f t="shared" si="1"/>
        <v>9</v>
      </c>
      <c r="G22" s="9">
        <f t="shared" si="2"/>
        <v>0.775</v>
      </c>
      <c r="H22" s="10" t="str">
        <f t="shared" si="3"/>
        <v>Present</v>
      </c>
      <c r="I22" s="11" t="s">
        <v>19</v>
      </c>
      <c r="J22" s="11" t="s">
        <v>16</v>
      </c>
    </row>
    <row r="23" ht="26.25" customHeight="1">
      <c r="B23" s="7" t="s">
        <v>46</v>
      </c>
      <c r="C23" s="7" t="s">
        <v>47</v>
      </c>
      <c r="D23" s="7">
        <v>40.0</v>
      </c>
      <c r="E23" s="7">
        <v>27.0</v>
      </c>
      <c r="F23" s="8">
        <f t="shared" si="1"/>
        <v>13</v>
      </c>
      <c r="G23" s="9">
        <f t="shared" si="2"/>
        <v>0.675</v>
      </c>
      <c r="H23" s="10" t="str">
        <f t="shared" si="3"/>
        <v>Short Attendance</v>
      </c>
      <c r="I23" s="11" t="s">
        <v>19</v>
      </c>
      <c r="J23" s="11" t="s">
        <v>19</v>
      </c>
    </row>
    <row r="24" ht="26.25" customHeight="1">
      <c r="B24" s="7" t="s">
        <v>48</v>
      </c>
      <c r="C24" s="7" t="s">
        <v>49</v>
      </c>
      <c r="D24" s="7">
        <v>40.0</v>
      </c>
      <c r="E24" s="7">
        <v>40.0</v>
      </c>
      <c r="F24" s="8">
        <f t="shared" si="1"/>
        <v>0</v>
      </c>
      <c r="G24" s="9">
        <f t="shared" si="2"/>
        <v>1</v>
      </c>
      <c r="H24" s="10" t="str">
        <f t="shared" si="3"/>
        <v>Present</v>
      </c>
      <c r="I24" s="11" t="s">
        <v>16</v>
      </c>
      <c r="J24" s="11" t="s">
        <v>16</v>
      </c>
    </row>
    <row r="25" ht="26.25" customHeight="1">
      <c r="B25" s="7" t="s">
        <v>50</v>
      </c>
      <c r="C25" s="7" t="s">
        <v>51</v>
      </c>
      <c r="D25" s="7">
        <v>40.0</v>
      </c>
      <c r="E25" s="7">
        <v>35.0</v>
      </c>
      <c r="F25" s="8">
        <f t="shared" si="1"/>
        <v>5</v>
      </c>
      <c r="G25" s="9">
        <f t="shared" si="2"/>
        <v>0.875</v>
      </c>
      <c r="H25" s="10" t="str">
        <f t="shared" si="3"/>
        <v>Present</v>
      </c>
      <c r="I25" s="11" t="s">
        <v>16</v>
      </c>
      <c r="J25" s="11" t="s">
        <v>16</v>
      </c>
    </row>
    <row r="26" ht="26.25" customHeight="1">
      <c r="B26" s="7" t="s">
        <v>52</v>
      </c>
      <c r="C26" s="7" t="s">
        <v>53</v>
      </c>
      <c r="D26" s="7">
        <v>40.0</v>
      </c>
      <c r="E26" s="7">
        <v>29.0</v>
      </c>
      <c r="F26" s="8">
        <f t="shared" si="1"/>
        <v>11</v>
      </c>
      <c r="G26" s="9">
        <f t="shared" si="2"/>
        <v>0.725</v>
      </c>
      <c r="H26" s="10" t="str">
        <f t="shared" si="3"/>
        <v>Short Attendance</v>
      </c>
      <c r="I26" s="11" t="s">
        <v>19</v>
      </c>
      <c r="J26" s="11" t="s">
        <v>16</v>
      </c>
    </row>
    <row r="27" ht="26.25" customHeight="1">
      <c r="B27" s="7" t="s">
        <v>54</v>
      </c>
      <c r="C27" s="7" t="s">
        <v>55</v>
      </c>
      <c r="D27" s="7">
        <v>40.0</v>
      </c>
      <c r="E27" s="7">
        <v>34.0</v>
      </c>
      <c r="F27" s="8">
        <f t="shared" si="1"/>
        <v>6</v>
      </c>
      <c r="G27" s="9">
        <f t="shared" si="2"/>
        <v>0.85</v>
      </c>
      <c r="H27" s="10" t="str">
        <f t="shared" si="3"/>
        <v>Present</v>
      </c>
      <c r="I27" s="11" t="s">
        <v>16</v>
      </c>
      <c r="J27" s="11" t="s">
        <v>19</v>
      </c>
    </row>
    <row r="28" ht="26.25" customHeight="1">
      <c r="B28" s="7" t="s">
        <v>56</v>
      </c>
      <c r="C28" s="7" t="s">
        <v>57</v>
      </c>
      <c r="D28" s="7">
        <v>40.0</v>
      </c>
      <c r="E28" s="7">
        <v>36.0</v>
      </c>
      <c r="F28" s="8">
        <f t="shared" si="1"/>
        <v>4</v>
      </c>
      <c r="G28" s="9">
        <f t="shared" si="2"/>
        <v>0.9</v>
      </c>
      <c r="H28" s="10" t="str">
        <f t="shared" si="3"/>
        <v>Present</v>
      </c>
      <c r="I28" s="11" t="s">
        <v>16</v>
      </c>
      <c r="J28" s="11" t="s">
        <v>16</v>
      </c>
    </row>
    <row r="29" ht="26.25" customHeight="1">
      <c r="B29" s="7" t="s">
        <v>58</v>
      </c>
      <c r="C29" s="7" t="s">
        <v>59</v>
      </c>
      <c r="D29" s="7">
        <v>40.0</v>
      </c>
      <c r="E29" s="7">
        <v>39.0</v>
      </c>
      <c r="F29" s="8">
        <f t="shared" si="1"/>
        <v>1</v>
      </c>
      <c r="G29" s="9">
        <f t="shared" si="2"/>
        <v>0.975</v>
      </c>
      <c r="H29" s="10" t="str">
        <f t="shared" si="3"/>
        <v>Present</v>
      </c>
      <c r="I29" s="11" t="s">
        <v>16</v>
      </c>
      <c r="J29" s="11" t="s">
        <v>16</v>
      </c>
    </row>
    <row r="30" ht="26.25" customHeight="1">
      <c r="B30" s="7" t="s">
        <v>60</v>
      </c>
      <c r="C30" s="7" t="s">
        <v>61</v>
      </c>
      <c r="D30" s="7">
        <v>40.0</v>
      </c>
      <c r="E30" s="7">
        <v>28.0</v>
      </c>
      <c r="F30" s="8">
        <f t="shared" si="1"/>
        <v>12</v>
      </c>
      <c r="G30" s="9">
        <f t="shared" si="2"/>
        <v>0.7</v>
      </c>
      <c r="H30" s="10" t="str">
        <f t="shared" si="3"/>
        <v>Short Attendance</v>
      </c>
      <c r="I30" s="11" t="s">
        <v>19</v>
      </c>
      <c r="J30" s="11" t="s">
        <v>19</v>
      </c>
    </row>
    <row r="31" ht="26.25" customHeight="1">
      <c r="B31" s="7" t="s">
        <v>62</v>
      </c>
      <c r="C31" s="7" t="s">
        <v>63</v>
      </c>
      <c r="D31" s="7">
        <v>40.0</v>
      </c>
      <c r="E31" s="7">
        <v>31.0</v>
      </c>
      <c r="F31" s="8">
        <f t="shared" si="1"/>
        <v>9</v>
      </c>
      <c r="G31" s="9">
        <f t="shared" si="2"/>
        <v>0.775</v>
      </c>
      <c r="H31" s="10" t="str">
        <f t="shared" si="3"/>
        <v>Present</v>
      </c>
      <c r="I31" s="11" t="s">
        <v>16</v>
      </c>
      <c r="J31" s="11" t="s">
        <v>19</v>
      </c>
    </row>
    <row r="32" ht="26.25" customHeight="1">
      <c r="B32" s="7" t="s">
        <v>64</v>
      </c>
      <c r="C32" s="7" t="s">
        <v>65</v>
      </c>
      <c r="D32" s="7">
        <v>40.0</v>
      </c>
      <c r="E32" s="7">
        <v>37.0</v>
      </c>
      <c r="F32" s="8">
        <f t="shared" si="1"/>
        <v>3</v>
      </c>
      <c r="G32" s="9">
        <f t="shared" si="2"/>
        <v>0.925</v>
      </c>
      <c r="H32" s="10" t="str">
        <f t="shared" si="3"/>
        <v>Present</v>
      </c>
      <c r="I32" s="11" t="s">
        <v>16</v>
      </c>
      <c r="J32" s="11" t="s">
        <v>16</v>
      </c>
    </row>
    <row r="33" ht="26.25" customHeight="1">
      <c r="B33" s="7" t="s">
        <v>66</v>
      </c>
      <c r="C33" s="7" t="s">
        <v>67</v>
      </c>
      <c r="D33" s="7">
        <v>40.0</v>
      </c>
      <c r="E33" s="7">
        <v>26.0</v>
      </c>
      <c r="F33" s="8">
        <f t="shared" si="1"/>
        <v>14</v>
      </c>
      <c r="G33" s="9">
        <f t="shared" si="2"/>
        <v>0.65</v>
      </c>
      <c r="H33" s="10" t="str">
        <f t="shared" si="3"/>
        <v>Short Attendance</v>
      </c>
      <c r="I33" s="11" t="s">
        <v>19</v>
      </c>
      <c r="J33" s="11" t="s">
        <v>19</v>
      </c>
    </row>
    <row r="34" ht="26.25" customHeight="1">
      <c r="B34" s="7" t="s">
        <v>68</v>
      </c>
      <c r="C34" s="7" t="s">
        <v>69</v>
      </c>
      <c r="D34" s="7">
        <v>40.0</v>
      </c>
      <c r="E34" s="7">
        <v>35.0</v>
      </c>
      <c r="F34" s="8">
        <f t="shared" si="1"/>
        <v>5</v>
      </c>
      <c r="G34" s="9">
        <f t="shared" si="2"/>
        <v>0.875</v>
      </c>
      <c r="H34" s="10" t="str">
        <f t="shared" si="3"/>
        <v>Present</v>
      </c>
      <c r="I34" s="11" t="s">
        <v>16</v>
      </c>
      <c r="J34" s="11" t="s">
        <v>16</v>
      </c>
    </row>
    <row r="35" ht="26.25" customHeight="1">
      <c r="B35" s="7" t="s">
        <v>70</v>
      </c>
      <c r="C35" s="7" t="s">
        <v>71</v>
      </c>
      <c r="D35" s="7">
        <v>40.0</v>
      </c>
      <c r="E35" s="7">
        <v>38.0</v>
      </c>
      <c r="F35" s="8">
        <f t="shared" si="1"/>
        <v>2</v>
      </c>
      <c r="G35" s="9">
        <f t="shared" si="2"/>
        <v>0.95</v>
      </c>
      <c r="H35" s="10" t="str">
        <f t="shared" si="3"/>
        <v>Present</v>
      </c>
      <c r="I35" s="11" t="s">
        <v>16</v>
      </c>
      <c r="J35" s="11" t="s">
        <v>16</v>
      </c>
    </row>
    <row r="36" ht="26.25" customHeight="1">
      <c r="B36" s="7" t="s">
        <v>72</v>
      </c>
      <c r="C36" s="7" t="s">
        <v>73</v>
      </c>
      <c r="D36" s="7">
        <v>40.0</v>
      </c>
      <c r="E36" s="7">
        <v>29.0</v>
      </c>
      <c r="F36" s="8">
        <f t="shared" si="1"/>
        <v>11</v>
      </c>
      <c r="G36" s="9">
        <f t="shared" si="2"/>
        <v>0.725</v>
      </c>
      <c r="H36" s="10" t="str">
        <f t="shared" si="3"/>
        <v>Short Attendance</v>
      </c>
      <c r="I36" s="11" t="s">
        <v>19</v>
      </c>
      <c r="J36" s="11" t="s">
        <v>16</v>
      </c>
    </row>
    <row r="37" ht="26.25" customHeight="1">
      <c r="B37" s="7" t="s">
        <v>74</v>
      </c>
      <c r="C37" s="7" t="s">
        <v>75</v>
      </c>
      <c r="D37" s="7">
        <v>40.0</v>
      </c>
      <c r="E37" s="7">
        <v>32.0</v>
      </c>
      <c r="F37" s="8">
        <f t="shared" si="1"/>
        <v>8</v>
      </c>
      <c r="G37" s="9">
        <f t="shared" si="2"/>
        <v>0.8</v>
      </c>
      <c r="H37" s="10" t="str">
        <f t="shared" si="3"/>
        <v>Present</v>
      </c>
      <c r="I37" s="11" t="s">
        <v>16</v>
      </c>
      <c r="J37" s="11" t="s">
        <v>19</v>
      </c>
    </row>
  </sheetData>
  <conditionalFormatting sqref="H8:H37">
    <cfRule type="cellIs" dxfId="4" priority="1" stopIfTrue="1" operator="equal">
      <formula>"Present"</formula>
    </cfRule>
  </conditionalFormatting>
  <conditionalFormatting sqref="H8:H37">
    <cfRule type="cellIs" dxfId="5" priority="2" stopIfTrue="1" operator="equal">
      <formula>"Short Attendance"</formula>
    </cfRule>
  </conditionalFormatting>
  <conditionalFormatting sqref="I8:J37">
    <cfRule type="cellIs" dxfId="4" priority="3" stopIfTrue="1" operator="equal">
      <formula>"Submitted"</formula>
    </cfRule>
  </conditionalFormatting>
  <conditionalFormatting sqref="I8:J37">
    <cfRule type="cellIs" dxfId="6" priority="4" stopIfTrue="1" operator="equal">
      <formula>"Pending"</formula>
    </cfRule>
  </conditionalFormatting>
  <drawing r:id="rId1"/>
  <tableParts count="1">
    <tablePart r:id="rId3"/>
  </tableParts>
</worksheet>
</file>